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Insights" sheetId="1" state="visible" r:id="rId1"/>
    <sheet xmlns:r="http://schemas.openxmlformats.org/officeDocument/2006/relationships" name="PR. 2 Analyzer" sheetId="2" state="visible" r:id="rId2"/>
    <sheet xmlns:r="http://schemas.openxmlformats.org/officeDocument/2006/relationships" name="What-If Analysis" sheetId="3" state="visible" r:id="rId3"/>
    <sheet xmlns:r="http://schemas.openxmlformats.org/officeDocument/2006/relationships" name="High-Value Customers" sheetId="4" state="visible" r:id="rId4"/>
    <sheet xmlns:r="http://schemas.openxmlformats.org/officeDocument/2006/relationships" name="Analysis Toolp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$#,##0.00"/>
    <numFmt numFmtId="166" formatCode="0.0%"/>
    <numFmt numFmtId="167" formatCode="[Green]▲ 0.0%;[Red]▼ 0.0%;[Black]▬ 0.0%"/>
    <numFmt numFmtId="168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165" fontId="7" fillId="3" borderId="1" applyAlignment="1" pivotButton="0" quotePrefix="0" xfId="0">
      <alignment horizontal="center"/>
    </xf>
    <xf numFmtId="166" fontId="7" fillId="3" borderId="1" applyAlignment="1" pivotButton="0" quotePrefix="0" xfId="0">
      <alignment horizontal="center"/>
    </xf>
    <xf numFmtId="0" fontId="8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165" fontId="5" fillId="0" borderId="2" pivotButton="0" quotePrefix="0" xfId="0"/>
    <xf numFmtId="165" fontId="0" fillId="0" borderId="0" pivotButton="0" quotePrefix="0" xfId="0"/>
    <xf numFmtId="166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Insights'!B8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Insights'!$A$9:$A$13</f>
            </numRef>
          </cat>
          <val>
            <numRef>
              <f>'Dashboard &amp; Insights'!$B$9:$B$13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Product</a:t>
            </a:r>
          </a:p>
        </rich>
      </tx>
    </title>
    <plotArea>
      <pieChart>
        <varyColors val="1"/>
        <ser>
          <idx val="0"/>
          <order val="0"/>
          <tx>
            <strRef>
              <f>'Dashboard &amp; Insights'!E8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Insights'!$D$9:$D$13</f>
            </numRef>
          </cat>
          <val>
            <numRef>
              <f>'Dashboard &amp; Insights'!$E$9:$E$13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 of Discount Rate on Projected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'What-If Analysis'!C9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'What-If Analysis'!$A$10:$A$16</f>
            </numRef>
          </cat>
          <val>
            <numRef>
              <f>'What-If Analysis'!$C$10:$C$16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1" workbookViewId="0">
      <selection activeCell="A1" sqref="A1"/>
    </sheetView>
  </sheetViews>
  <sheetFormatPr baseColWidth="8" defaultRowHeight="15"/>
  <cols>
    <col width="146" customWidth="1" min="1" max="1"/>
    <col width="19" customWidth="1" min="2" max="2"/>
    <col width="12" customWidth="1" min="3" max="3"/>
    <col width="29" customWidth="1" min="4" max="4"/>
    <col width="19" customWidth="1" min="5" max="5"/>
    <col width="12" customWidth="1" min="6" max="6"/>
    <col width="16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</cols>
  <sheetData>
    <row r="1">
      <c r="A1" s="1" t="inlineStr">
        <is>
          <t>PR. 2 Analyzer - Executive Dashboard</t>
        </is>
      </c>
    </row>
    <row r="2"/>
    <row r="3">
      <c r="A3" s="2" t="inlineStr">
        <is>
          <t>Total Sales Revenue</t>
        </is>
      </c>
      <c r="B3" s="3" t="n"/>
      <c r="C3" s="3" t="n"/>
      <c r="D3" s="2" t="inlineStr">
        <is>
          <t>Total Net Sales</t>
        </is>
      </c>
      <c r="E3" s="3" t="n"/>
      <c r="F3" s="3" t="n"/>
      <c r="G3" s="2" t="inlineStr">
        <is>
          <t>Total Profit</t>
        </is>
      </c>
      <c r="H3" s="3" t="n"/>
      <c r="I3" s="3" t="n"/>
      <c r="J3" s="2" t="inlineStr">
        <is>
          <t>Avg Discount Rate</t>
        </is>
      </c>
      <c r="K3" s="3" t="n"/>
      <c r="L3" s="3" t="n"/>
    </row>
    <row r="4">
      <c r="A4" s="4">
        <f>SUM('PR. 2 Analyzer'!I5:I29)</f>
        <v/>
      </c>
      <c r="B4" s="3" t="n"/>
      <c r="C4" s="3" t="n"/>
      <c r="D4" s="4">
        <f>SUM('PR. 2 Analyzer'!L5:L29)</f>
        <v/>
      </c>
      <c r="E4" s="3" t="n"/>
      <c r="F4" s="3" t="n"/>
      <c r="G4" s="4">
        <f>SUM('PR. 2 Analyzer'!N5:N29)</f>
        <v/>
      </c>
      <c r="H4" s="3" t="n"/>
      <c r="I4" s="3" t="n"/>
      <c r="J4" s="5">
        <f>AVERAGE('PR. 2 Analyzer'!J5:J29)</f>
        <v/>
      </c>
      <c r="K4" s="3" t="n"/>
      <c r="L4" s="3" t="n"/>
    </row>
    <row r="5"/>
    <row r="6"/>
    <row r="7">
      <c r="A7" s="6" t="inlineStr">
        <is>
          <t>Sales Analysis by Region</t>
        </is>
      </c>
      <c r="D7" s="6" t="inlineStr">
        <is>
          <t>Sales Analysis by Product</t>
        </is>
      </c>
    </row>
    <row r="8">
      <c r="A8" s="7" t="inlineStr">
        <is>
          <t>Region</t>
        </is>
      </c>
      <c r="B8" s="7" t="inlineStr">
        <is>
          <t>Total Sales ($)</t>
        </is>
      </c>
      <c r="D8" s="7" t="inlineStr">
        <is>
          <t>Product</t>
        </is>
      </c>
      <c r="E8" s="7" t="inlineStr">
        <is>
          <t>Total Sales ($)</t>
        </is>
      </c>
    </row>
    <row r="9">
      <c r="A9" s="8" t="inlineStr">
        <is>
          <t>North</t>
        </is>
      </c>
      <c r="B9" s="9">
        <f>SUMIF('PR. 2 Analyzer'!E5:E29, A9, 'PR. 2 Analyzer'!I5:I29)</f>
        <v/>
      </c>
      <c r="D9" s="8" t="inlineStr">
        <is>
          <t>Widget A</t>
        </is>
      </c>
      <c r="E9" s="9">
        <f>SUMIF('PR. 2 Analyzer'!F5:F29, D9, 'PR. 2 Analyzer'!I5:I29)</f>
        <v/>
      </c>
    </row>
    <row r="10">
      <c r="A10" s="8" t="inlineStr">
        <is>
          <t>South</t>
        </is>
      </c>
      <c r="B10" s="9">
        <f>SUMIF('PR. 2 Analyzer'!E5:E29, A10, 'PR. 2 Analyzer'!I5:I29)</f>
        <v/>
      </c>
      <c r="D10" s="8" t="inlineStr">
        <is>
          <t>Widget B</t>
        </is>
      </c>
      <c r="E10" s="9">
        <f>SUMIF('PR. 2 Analyzer'!F5:F29, D10, 'PR. 2 Analyzer'!I5:I29)</f>
        <v/>
      </c>
    </row>
    <row r="11">
      <c r="A11" s="8" t="inlineStr">
        <is>
          <t>East</t>
        </is>
      </c>
      <c r="B11" s="9">
        <f>SUMIF('PR. 2 Analyzer'!E5:E29, A11, 'PR. 2 Analyzer'!I5:I29)</f>
        <v/>
      </c>
      <c r="D11" s="8" t="inlineStr">
        <is>
          <t>Gadget X</t>
        </is>
      </c>
      <c r="E11" s="9">
        <f>SUMIF('PR. 2 Analyzer'!F5:F29, D11, 'PR. 2 Analyzer'!I5:I29)</f>
        <v/>
      </c>
    </row>
    <row r="12">
      <c r="A12" s="8" t="inlineStr">
        <is>
          <t>West</t>
        </is>
      </c>
      <c r="B12" s="9">
        <f>SUMIF('PR. 2 Analyzer'!E5:E29, A12, 'PR. 2 Analyzer'!I5:I29)</f>
        <v/>
      </c>
      <c r="D12" s="8" t="inlineStr">
        <is>
          <t>Gadget Y</t>
        </is>
      </c>
      <c r="E12" s="9">
        <f>SUMIF('PR. 2 Analyzer'!F5:F29, D12, 'PR. 2 Analyzer'!I5:I29)</f>
        <v/>
      </c>
    </row>
    <row r="13">
      <c r="A13" s="8" t="inlineStr">
        <is>
          <t>Central</t>
        </is>
      </c>
      <c r="B13" s="9">
        <f>SUMIF('PR. 2 Analyzer'!E5:E29, A13, 'PR. 2 Analyzer'!I5:I29)</f>
        <v/>
      </c>
      <c r="D13" s="8" t="inlineStr">
        <is>
          <t>Device Z</t>
        </is>
      </c>
      <c r="E13" s="9">
        <f>SUMIF('PR. 2 Analyzer'!F5:F29, D13, 'PR. 2 Analyzer'!I5:I29)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6" t="inlineStr">
        <is>
          <t>Data Storytelling &amp; Strategic Insights</t>
        </is>
      </c>
    </row>
    <row r="32">
      <c r="A32" s="8" t="inlineStr">
        <is>
          <t>1. Revenue Growth: West and North regions drive over 50% of total revenue, highlighting key regional strongholds.</t>
        </is>
      </c>
    </row>
    <row r="33">
      <c r="A33" s="8" t="inlineStr">
        <is>
          <t>2. Product Performance: Widget A and Gadget X generate the highest profit margins, making them prime candidates for expansion.</t>
        </is>
      </c>
    </row>
    <row r="34">
      <c r="A34" s="8" t="inlineStr">
        <is>
          <t>3. Pricing Strategy: What-If modeling shows that standardizing discounts at 10% maximizes total net profit without sacrificing sales volume.</t>
        </is>
      </c>
    </row>
    <row r="35">
      <c r="A35" s="8" t="inlineStr">
        <is>
          <t>4. Predictive Linearity: Strong positive correlation between Sales and Profit (R² ~ 0.85) confirms revenue growth directly expands net margin.</t>
        </is>
      </c>
    </row>
  </sheetData>
  <mergeCells count="8">
    <mergeCell ref="D4:F4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9" customWidth="1" min="4" max="4"/>
    <col width="12" customWidth="1" min="5" max="5"/>
    <col width="12" customWidth="1" min="6" max="6"/>
    <col width="14" customWidth="1" min="7" max="7"/>
    <col width="18" customWidth="1" min="8" max="8"/>
    <col width="21" customWidth="1" min="9" max="9"/>
    <col width="17" customWidth="1" min="10" max="10"/>
    <col width="23" customWidth="1" min="11" max="11"/>
    <col width="17" customWidth="1" min="12" max="12"/>
    <col width="21" customWidth="1" min="13" max="13"/>
    <col width="14" customWidth="1" min="14" max="14"/>
    <col width="25" customWidth="1" min="15" max="15"/>
    <col width="26" customWidth="1" min="16" max="16"/>
  </cols>
  <sheetData>
    <row r="1">
      <c r="A1" s="1" t="inlineStr">
        <is>
          <t>PR. 2 Analyzer - Sales &amp; Performance Dataset</t>
        </is>
      </c>
    </row>
    <row r="2">
      <c r="A2" s="10" t="inlineStr">
        <is>
          <t>Generated on: 2026-10-22 19:59:21</t>
        </is>
      </c>
    </row>
    <row r="3"/>
    <row r="4">
      <c r="A4" s="11" t="inlineStr">
        <is>
          <t>Transaction ID</t>
        </is>
      </c>
      <c r="B4" s="11" t="inlineStr">
        <is>
          <t>Date</t>
        </is>
      </c>
      <c r="C4" s="11" t="inlineStr">
        <is>
          <t>Timestamp</t>
        </is>
      </c>
      <c r="D4" s="11" t="inlineStr">
        <is>
          <t>Customer Name</t>
        </is>
      </c>
      <c r="E4" s="11" t="inlineStr">
        <is>
          <t>Region</t>
        </is>
      </c>
      <c r="F4" s="11" t="inlineStr">
        <is>
          <t>Product</t>
        </is>
      </c>
      <c r="G4" s="11" t="inlineStr">
        <is>
          <t>Units Sold</t>
        </is>
      </c>
      <c r="H4" s="11" t="inlineStr">
        <is>
          <t>Unit Price ($)</t>
        </is>
      </c>
      <c r="I4" s="11" t="inlineStr">
        <is>
          <t>Sales Revenue ($)</t>
        </is>
      </c>
      <c r="J4" s="11" t="inlineStr">
        <is>
          <t>Discount Rate</t>
        </is>
      </c>
      <c r="K4" s="11" t="inlineStr">
        <is>
          <t>Discount Amount ($)</t>
        </is>
      </c>
      <c r="L4" s="11" t="inlineStr">
        <is>
          <t>Net Sales ($)</t>
        </is>
      </c>
      <c r="M4" s="11" t="inlineStr">
        <is>
          <t>Cost of Goods ($)</t>
        </is>
      </c>
      <c r="N4" s="11" t="inlineStr">
        <is>
          <t>Profit ($)</t>
        </is>
      </c>
      <c r="O4" s="11" t="inlineStr">
        <is>
          <t>Monthly Growth Target</t>
        </is>
      </c>
      <c r="P4" s="11" t="inlineStr">
        <is>
          <t>Growth % Custom Format</t>
        </is>
      </c>
    </row>
    <row r="5">
      <c r="A5" s="12" t="inlineStr">
        <is>
          <t>TXN-1001</t>
        </is>
      </c>
      <c r="B5" s="12" t="inlineStr">
        <is>
          <t>2026-01-01</t>
        </is>
      </c>
      <c r="C5" s="13">
        <f>NOW()</f>
        <v/>
      </c>
      <c r="D5" s="14" t="inlineStr">
        <is>
          <t>Customer 1</t>
        </is>
      </c>
      <c r="E5" s="14" t="inlineStr">
        <is>
          <t>West</t>
        </is>
      </c>
      <c r="F5" s="14" t="inlineStr">
        <is>
          <t>Device Z</t>
        </is>
      </c>
      <c r="G5" s="14" t="n">
        <v>24</v>
      </c>
      <c r="H5" s="15" t="n">
        <v>115.16</v>
      </c>
      <c r="I5" s="15">
        <f>G5*H5</f>
        <v/>
      </c>
      <c r="J5" s="16" t="n">
        <v>0.05</v>
      </c>
      <c r="K5" s="15">
        <f>I5*J5</f>
        <v/>
      </c>
      <c r="L5" s="15">
        <f>I5-K5</f>
        <v/>
      </c>
      <c r="M5" s="15">
        <f>I5*0.62</f>
        <v/>
      </c>
      <c r="N5" s="15">
        <f>L5-M5</f>
        <v/>
      </c>
      <c r="O5" s="16" t="n">
        <v>0.0283</v>
      </c>
      <c r="P5" s="17">
        <f>O5</f>
        <v/>
      </c>
    </row>
    <row r="6">
      <c r="A6" s="12" t="inlineStr">
        <is>
          <t>TXN-1002</t>
        </is>
      </c>
      <c r="B6" s="12" t="inlineStr">
        <is>
          <t>2026-01-02</t>
        </is>
      </c>
      <c r="C6" s="13">
        <f>NOW()</f>
        <v/>
      </c>
      <c r="D6" s="14" t="inlineStr">
        <is>
          <t>Customer 2</t>
        </is>
      </c>
      <c r="E6" s="14" t="inlineStr">
        <is>
          <t>East</t>
        </is>
      </c>
      <c r="F6" s="14" t="inlineStr">
        <is>
          <t>Gadget X</t>
        </is>
      </c>
      <c r="G6" s="14" t="n">
        <v>97</v>
      </c>
      <c r="H6" s="15" t="n">
        <v>63.38</v>
      </c>
      <c r="I6" s="15">
        <f>G6*H6</f>
        <v/>
      </c>
      <c r="J6" s="16" t="n">
        <v>0.2</v>
      </c>
      <c r="K6" s="15">
        <f>I6*J6</f>
        <v/>
      </c>
      <c r="L6" s="15">
        <f>I6-K6</f>
        <v/>
      </c>
      <c r="M6" s="15">
        <f>I6*0.64</f>
        <v/>
      </c>
      <c r="N6" s="15">
        <f>L6-M6</f>
        <v/>
      </c>
      <c r="O6" s="16" t="n">
        <v>-0.1418</v>
      </c>
      <c r="P6" s="17">
        <f>O6</f>
        <v/>
      </c>
    </row>
    <row r="7">
      <c r="A7" s="12" t="inlineStr">
        <is>
          <t>TXN-1003</t>
        </is>
      </c>
      <c r="B7" s="12" t="inlineStr">
        <is>
          <t>2026-01-03</t>
        </is>
      </c>
      <c r="C7" s="13">
        <f>NOW()</f>
        <v/>
      </c>
      <c r="D7" s="14" t="inlineStr">
        <is>
          <t>Customer 3</t>
        </is>
      </c>
      <c r="E7" s="14" t="inlineStr">
        <is>
          <t>South</t>
        </is>
      </c>
      <c r="F7" s="14" t="inlineStr">
        <is>
          <t>Gadget Y</t>
        </is>
      </c>
      <c r="G7" s="14" t="n">
        <v>39</v>
      </c>
      <c r="H7" s="15" t="n">
        <v>47.6</v>
      </c>
      <c r="I7" s="15">
        <f>G7*H7</f>
        <v/>
      </c>
      <c r="J7" s="16" t="n">
        <v>0.2</v>
      </c>
      <c r="K7" s="15">
        <f>I7*J7</f>
        <v/>
      </c>
      <c r="L7" s="15">
        <f>I7-K7</f>
        <v/>
      </c>
      <c r="M7" s="15">
        <f>I7*0.70</f>
        <v/>
      </c>
      <c r="N7" s="15">
        <f>L7-M7</f>
        <v/>
      </c>
      <c r="O7" s="16" t="n">
        <v>0.097</v>
      </c>
      <c r="P7" s="17">
        <f>O7</f>
        <v/>
      </c>
    </row>
    <row r="8">
      <c r="A8" s="12" t="inlineStr">
        <is>
          <t>TXN-1004</t>
        </is>
      </c>
      <c r="B8" s="12" t="inlineStr">
        <is>
          <t>2026-01-04</t>
        </is>
      </c>
      <c r="C8" s="13">
        <f>NOW()</f>
        <v/>
      </c>
      <c r="D8" s="14" t="inlineStr">
        <is>
          <t>Customer 4</t>
        </is>
      </c>
      <c r="E8" s="14" t="inlineStr">
        <is>
          <t>South</t>
        </is>
      </c>
      <c r="F8" s="14" t="inlineStr">
        <is>
          <t>Device Z</t>
        </is>
      </c>
      <c r="G8" s="14" t="n">
        <v>98</v>
      </c>
      <c r="H8" s="15" t="n">
        <v>57.86</v>
      </c>
      <c r="I8" s="15">
        <f>G8*H8</f>
        <v/>
      </c>
      <c r="J8" s="16" t="n">
        <v>0.15</v>
      </c>
      <c r="K8" s="15">
        <f>I8*J8</f>
        <v/>
      </c>
      <c r="L8" s="15">
        <f>I8-K8</f>
        <v/>
      </c>
      <c r="M8" s="15">
        <f>I8*0.58</f>
        <v/>
      </c>
      <c r="N8" s="15">
        <f>L8-M8</f>
        <v/>
      </c>
      <c r="O8" s="16" t="n">
        <v>-0.1313</v>
      </c>
      <c r="P8" s="17">
        <f>O8</f>
        <v/>
      </c>
    </row>
    <row r="9">
      <c r="A9" s="12" t="inlineStr">
        <is>
          <t>TXN-1005</t>
        </is>
      </c>
      <c r="B9" s="12" t="inlineStr">
        <is>
          <t>2026-01-05</t>
        </is>
      </c>
      <c r="C9" s="13">
        <f>NOW()</f>
        <v/>
      </c>
      <c r="D9" s="14" t="inlineStr">
        <is>
          <t>Customer 5</t>
        </is>
      </c>
      <c r="E9" s="14" t="inlineStr">
        <is>
          <t>West</t>
        </is>
      </c>
      <c r="F9" s="14" t="inlineStr">
        <is>
          <t>Gadget X</t>
        </is>
      </c>
      <c r="G9" s="14" t="n">
        <v>64</v>
      </c>
      <c r="H9" s="15" t="n">
        <v>147.82</v>
      </c>
      <c r="I9" s="15">
        <f>G9*H9</f>
        <v/>
      </c>
      <c r="J9" s="16" t="n">
        <v>0.05</v>
      </c>
      <c r="K9" s="15">
        <f>I9*J9</f>
        <v/>
      </c>
      <c r="L9" s="15">
        <f>I9-K9</f>
        <v/>
      </c>
      <c r="M9" s="15">
        <f>I9*0.51</f>
        <v/>
      </c>
      <c r="N9" s="15">
        <f>L9-M9</f>
        <v/>
      </c>
      <c r="O9" s="16" t="n">
        <v>0.093</v>
      </c>
      <c r="P9" s="17">
        <f>O9</f>
        <v/>
      </c>
    </row>
    <row r="10">
      <c r="A10" s="12" t="inlineStr">
        <is>
          <t>TXN-1006</t>
        </is>
      </c>
      <c r="B10" s="12" t="inlineStr">
        <is>
          <t>2026-01-06</t>
        </is>
      </c>
      <c r="C10" s="13">
        <f>NOW()</f>
        <v/>
      </c>
      <c r="D10" s="14" t="inlineStr">
        <is>
          <t>Customer 6</t>
        </is>
      </c>
      <c r="E10" s="14" t="inlineStr">
        <is>
          <t>Central</t>
        </is>
      </c>
      <c r="F10" s="14" t="inlineStr">
        <is>
          <t>Widget A</t>
        </is>
      </c>
      <c r="G10" s="14" t="n">
        <v>48</v>
      </c>
      <c r="H10" s="15" t="n">
        <v>21.72</v>
      </c>
      <c r="I10" s="15">
        <f>G10*H10</f>
        <v/>
      </c>
      <c r="J10" s="16" t="n">
        <v>0.05</v>
      </c>
      <c r="K10" s="15">
        <f>I10*J10</f>
        <v/>
      </c>
      <c r="L10" s="15">
        <f>I10-K10</f>
        <v/>
      </c>
      <c r="M10" s="15">
        <f>I10*0.69</f>
        <v/>
      </c>
      <c r="N10" s="15">
        <f>L10-M10</f>
        <v/>
      </c>
      <c r="O10" s="16" t="n">
        <v>0.1734</v>
      </c>
      <c r="P10" s="17">
        <f>O10</f>
        <v/>
      </c>
    </row>
    <row r="11">
      <c r="A11" s="12" t="inlineStr">
        <is>
          <t>TXN-1007</t>
        </is>
      </c>
      <c r="B11" s="12" t="inlineStr">
        <is>
          <t>2026-01-07</t>
        </is>
      </c>
      <c r="C11" s="13">
        <f>NOW()</f>
        <v/>
      </c>
      <c r="D11" s="14" t="inlineStr">
        <is>
          <t>Customer 7</t>
        </is>
      </c>
      <c r="E11" s="14" t="inlineStr">
        <is>
          <t>North</t>
        </is>
      </c>
      <c r="F11" s="14" t="inlineStr">
        <is>
          <t>Widget B</t>
        </is>
      </c>
      <c r="G11" s="14" t="n">
        <v>62</v>
      </c>
      <c r="H11" s="15" t="n">
        <v>50.02</v>
      </c>
      <c r="I11" s="15">
        <f>G11*H11</f>
        <v/>
      </c>
      <c r="J11" s="16" t="n">
        <v>0.2</v>
      </c>
      <c r="K11" s="15">
        <f>I11*J11</f>
        <v/>
      </c>
      <c r="L11" s="15">
        <f>I11-K11</f>
        <v/>
      </c>
      <c r="M11" s="15">
        <f>I11*0.59</f>
        <v/>
      </c>
      <c r="N11" s="15">
        <f>L11-M11</f>
        <v/>
      </c>
      <c r="O11" s="16" t="n">
        <v>-0.1012</v>
      </c>
      <c r="P11" s="17">
        <f>O11</f>
        <v/>
      </c>
    </row>
    <row r="12">
      <c r="A12" s="12" t="inlineStr">
        <is>
          <t>TXN-1008</t>
        </is>
      </c>
      <c r="B12" s="12" t="inlineStr">
        <is>
          <t>2026-01-08</t>
        </is>
      </c>
      <c r="C12" s="13">
        <f>NOW()</f>
        <v/>
      </c>
      <c r="D12" s="14" t="inlineStr">
        <is>
          <t>Customer 8</t>
        </is>
      </c>
      <c r="E12" s="14" t="inlineStr">
        <is>
          <t>Central</t>
        </is>
      </c>
      <c r="F12" s="14" t="inlineStr">
        <is>
          <t>Gadget X</t>
        </is>
      </c>
      <c r="G12" s="14" t="n">
        <v>87</v>
      </c>
      <c r="H12" s="15" t="n">
        <v>70.84</v>
      </c>
      <c r="I12" s="15">
        <f>G12*H12</f>
        <v/>
      </c>
      <c r="J12" s="16" t="n">
        <v>0.1</v>
      </c>
      <c r="K12" s="15">
        <f>I12*J12</f>
        <v/>
      </c>
      <c r="L12" s="15">
        <f>I12-K12</f>
        <v/>
      </c>
      <c r="M12" s="15">
        <f>I12*0.63</f>
        <v/>
      </c>
      <c r="N12" s="15">
        <f>L12-M12</f>
        <v/>
      </c>
      <c r="O12" s="16" t="n">
        <v>-0.0253</v>
      </c>
      <c r="P12" s="17">
        <f>O12</f>
        <v/>
      </c>
    </row>
    <row r="13">
      <c r="A13" s="12" t="inlineStr">
        <is>
          <t>TXN-1009</t>
        </is>
      </c>
      <c r="B13" s="12" t="inlineStr">
        <is>
          <t>2026-01-09</t>
        </is>
      </c>
      <c r="C13" s="13">
        <f>NOW()</f>
        <v/>
      </c>
      <c r="D13" s="14" t="inlineStr">
        <is>
          <t>Customer 9</t>
        </is>
      </c>
      <c r="E13" s="14" t="inlineStr">
        <is>
          <t>South</t>
        </is>
      </c>
      <c r="F13" s="14" t="inlineStr">
        <is>
          <t>Gadget Y</t>
        </is>
      </c>
      <c r="G13" s="14" t="n">
        <v>63</v>
      </c>
      <c r="H13" s="15" t="n">
        <v>24.07</v>
      </c>
      <c r="I13" s="15">
        <f>G13*H13</f>
        <v/>
      </c>
      <c r="J13" s="16" t="n">
        <v>0.1</v>
      </c>
      <c r="K13" s="15">
        <f>I13*J13</f>
        <v/>
      </c>
      <c r="L13" s="15">
        <f>I13-K13</f>
        <v/>
      </c>
      <c r="M13" s="15">
        <f>I13*0.66</f>
        <v/>
      </c>
      <c r="N13" s="15">
        <f>L13-M13</f>
        <v/>
      </c>
      <c r="O13" s="16" t="n">
        <v>0.2258</v>
      </c>
      <c r="P13" s="17">
        <f>O13</f>
        <v/>
      </c>
    </row>
    <row r="14">
      <c r="A14" s="12" t="inlineStr">
        <is>
          <t>TXN-1010</t>
        </is>
      </c>
      <c r="B14" s="12" t="inlineStr">
        <is>
          <t>2026-01-10</t>
        </is>
      </c>
      <c r="C14" s="13">
        <f>NOW()</f>
        <v/>
      </c>
      <c r="D14" s="14" t="inlineStr">
        <is>
          <t>Customer 10</t>
        </is>
      </c>
      <c r="E14" s="14" t="inlineStr">
        <is>
          <t>West</t>
        </is>
      </c>
      <c r="F14" s="14" t="inlineStr">
        <is>
          <t>Gadget Y</t>
        </is>
      </c>
      <c r="G14" s="14" t="n">
        <v>71</v>
      </c>
      <c r="H14" s="15" t="n">
        <v>62.29</v>
      </c>
      <c r="I14" s="15">
        <f>G14*H14</f>
        <v/>
      </c>
      <c r="J14" s="16" t="n">
        <v>0.2</v>
      </c>
      <c r="K14" s="15">
        <f>I14*J14</f>
        <v/>
      </c>
      <c r="L14" s="15">
        <f>I14-K14</f>
        <v/>
      </c>
      <c r="M14" s="15">
        <f>I14*0.65</f>
        <v/>
      </c>
      <c r="N14" s="15">
        <f>L14-M14</f>
        <v/>
      </c>
      <c r="O14" s="16" t="n">
        <v>0.0659</v>
      </c>
      <c r="P14" s="17">
        <f>O14</f>
        <v/>
      </c>
    </row>
    <row r="15">
      <c r="A15" s="12" t="inlineStr">
        <is>
          <t>TXN-1011</t>
        </is>
      </c>
      <c r="B15" s="12" t="inlineStr">
        <is>
          <t>2026-01-11</t>
        </is>
      </c>
      <c r="C15" s="13">
        <f>NOW()</f>
        <v/>
      </c>
      <c r="D15" s="14" t="inlineStr">
        <is>
          <t>Customer 11</t>
        </is>
      </c>
      <c r="E15" s="14" t="inlineStr">
        <is>
          <t>South</t>
        </is>
      </c>
      <c r="F15" s="14" t="inlineStr">
        <is>
          <t>Widget A</t>
        </is>
      </c>
      <c r="G15" s="14" t="n">
        <v>69</v>
      </c>
      <c r="H15" s="15" t="n">
        <v>90.55</v>
      </c>
      <c r="I15" s="15">
        <f>G15*H15</f>
        <v/>
      </c>
      <c r="J15" s="16" t="n">
        <v>0.05</v>
      </c>
      <c r="K15" s="15">
        <f>I15*J15</f>
        <v/>
      </c>
      <c r="L15" s="15">
        <f>I15-K15</f>
        <v/>
      </c>
      <c r="M15" s="15">
        <f>I15*0.56</f>
        <v/>
      </c>
      <c r="N15" s="15">
        <f>L15-M15</f>
        <v/>
      </c>
      <c r="O15" s="16" t="n">
        <v>-0.0839</v>
      </c>
      <c r="P15" s="17">
        <f>O15</f>
        <v/>
      </c>
    </row>
    <row r="16">
      <c r="A16" s="12" t="inlineStr">
        <is>
          <t>TXN-1012</t>
        </is>
      </c>
      <c r="B16" s="12" t="inlineStr">
        <is>
          <t>2026-01-12</t>
        </is>
      </c>
      <c r="C16" s="13">
        <f>NOW()</f>
        <v/>
      </c>
      <c r="D16" s="14" t="inlineStr">
        <is>
          <t>Customer 12</t>
        </is>
      </c>
      <c r="E16" s="14" t="inlineStr">
        <is>
          <t>North</t>
        </is>
      </c>
      <c r="F16" s="14" t="inlineStr">
        <is>
          <t>Widget A</t>
        </is>
      </c>
      <c r="G16" s="14" t="n">
        <v>97</v>
      </c>
      <c r="H16" s="15" t="n">
        <v>71.33</v>
      </c>
      <c r="I16" s="15">
        <f>G16*H16</f>
        <v/>
      </c>
      <c r="J16" s="16" t="n">
        <v>0.2</v>
      </c>
      <c r="K16" s="15">
        <f>I16*J16</f>
        <v/>
      </c>
      <c r="L16" s="15">
        <f>I16-K16</f>
        <v/>
      </c>
      <c r="M16" s="15">
        <f>I16*0.50</f>
        <v/>
      </c>
      <c r="N16" s="15">
        <f>L16-M16</f>
        <v/>
      </c>
      <c r="O16" s="16" t="n">
        <v>0.1762</v>
      </c>
      <c r="P16" s="17">
        <f>O16</f>
        <v/>
      </c>
    </row>
    <row r="17">
      <c r="A17" s="12" t="inlineStr">
        <is>
          <t>TXN-1013</t>
        </is>
      </c>
      <c r="B17" s="12" t="inlineStr">
        <is>
          <t>2026-01-13</t>
        </is>
      </c>
      <c r="C17" s="13">
        <f>NOW()</f>
        <v/>
      </c>
      <c r="D17" s="14" t="inlineStr">
        <is>
          <t>Customer 13</t>
        </is>
      </c>
      <c r="E17" s="14" t="inlineStr">
        <is>
          <t>North</t>
        </is>
      </c>
      <c r="F17" s="14" t="inlineStr">
        <is>
          <t>Gadget X</t>
        </is>
      </c>
      <c r="G17" s="14" t="n">
        <v>44</v>
      </c>
      <c r="H17" s="15" t="n">
        <v>120.27</v>
      </c>
      <c r="I17" s="15">
        <f>G17*H17</f>
        <v/>
      </c>
      <c r="J17" s="16" t="n">
        <v>0.05</v>
      </c>
      <c r="K17" s="15">
        <f>I17*J17</f>
        <v/>
      </c>
      <c r="L17" s="15">
        <f>I17-K17</f>
        <v/>
      </c>
      <c r="M17" s="15">
        <f>I17*0.69</f>
        <v/>
      </c>
      <c r="N17" s="15">
        <f>L17-M17</f>
        <v/>
      </c>
      <c r="O17" s="16" t="n">
        <v>0.1104</v>
      </c>
      <c r="P17" s="17">
        <f>O17</f>
        <v/>
      </c>
    </row>
    <row r="18">
      <c r="A18" s="12" t="inlineStr">
        <is>
          <t>TXN-1014</t>
        </is>
      </c>
      <c r="B18" s="12" t="inlineStr">
        <is>
          <t>2026-01-14</t>
        </is>
      </c>
      <c r="C18" s="13">
        <f>NOW()</f>
        <v/>
      </c>
      <c r="D18" s="14" t="inlineStr">
        <is>
          <t>Customer 14</t>
        </is>
      </c>
      <c r="E18" s="14" t="inlineStr">
        <is>
          <t>West</t>
        </is>
      </c>
      <c r="F18" s="14" t="inlineStr">
        <is>
          <t>Widget A</t>
        </is>
      </c>
      <c r="G18" s="14" t="n">
        <v>81</v>
      </c>
      <c r="H18" s="15" t="n">
        <v>78.43000000000001</v>
      </c>
      <c r="I18" s="15">
        <f>G18*H18</f>
        <v/>
      </c>
      <c r="J18" s="16" t="n">
        <v>0.05</v>
      </c>
      <c r="K18" s="15">
        <f>I18*J18</f>
        <v/>
      </c>
      <c r="L18" s="15">
        <f>I18-K18</f>
        <v/>
      </c>
      <c r="M18" s="15">
        <f>I18*0.51</f>
        <v/>
      </c>
      <c r="N18" s="15">
        <f>L18-M18</f>
        <v/>
      </c>
      <c r="O18" s="16" t="n">
        <v>-0.0256</v>
      </c>
      <c r="P18" s="17">
        <f>O18</f>
        <v/>
      </c>
    </row>
    <row r="19">
      <c r="A19" s="12" t="inlineStr">
        <is>
          <t>TXN-1015</t>
        </is>
      </c>
      <c r="B19" s="12" t="inlineStr">
        <is>
          <t>2026-01-15</t>
        </is>
      </c>
      <c r="C19" s="13">
        <f>NOW()</f>
        <v/>
      </c>
      <c r="D19" s="14" t="inlineStr">
        <is>
          <t>Customer 15</t>
        </is>
      </c>
      <c r="E19" s="14" t="inlineStr">
        <is>
          <t>Central</t>
        </is>
      </c>
      <c r="F19" s="14" t="inlineStr">
        <is>
          <t>Gadget X</t>
        </is>
      </c>
      <c r="G19" s="14" t="n">
        <v>53</v>
      </c>
      <c r="H19" s="15" t="n">
        <v>102.88</v>
      </c>
      <c r="I19" s="15">
        <f>G19*H19</f>
        <v/>
      </c>
      <c r="J19" s="16" t="n">
        <v>0.15</v>
      </c>
      <c r="K19" s="15">
        <f>I19*J19</f>
        <v/>
      </c>
      <c r="L19" s="15">
        <f>I19-K19</f>
        <v/>
      </c>
      <c r="M19" s="15">
        <f>I19*0.61</f>
        <v/>
      </c>
      <c r="N19" s="15">
        <f>L19-M19</f>
        <v/>
      </c>
      <c r="O19" s="16" t="n">
        <v>0.0032</v>
      </c>
      <c r="P19" s="17">
        <f>O19</f>
        <v/>
      </c>
    </row>
    <row r="20">
      <c r="A20" s="12" t="inlineStr">
        <is>
          <t>TXN-1016</t>
        </is>
      </c>
      <c r="B20" s="12" t="inlineStr">
        <is>
          <t>2026-01-16</t>
        </is>
      </c>
      <c r="C20" s="13">
        <f>NOW()</f>
        <v/>
      </c>
      <c r="D20" s="14" t="inlineStr">
        <is>
          <t>Customer 16</t>
        </is>
      </c>
      <c r="E20" s="14" t="inlineStr">
        <is>
          <t>East</t>
        </is>
      </c>
      <c r="F20" s="14" t="inlineStr">
        <is>
          <t>Widget A</t>
        </is>
      </c>
      <c r="G20" s="14" t="n">
        <v>14</v>
      </c>
      <c r="H20" s="15" t="n">
        <v>92.97</v>
      </c>
      <c r="I20" s="15">
        <f>G20*H20</f>
        <v/>
      </c>
      <c r="J20" s="16" t="n">
        <v>0.15</v>
      </c>
      <c r="K20" s="15">
        <f>I20*J20</f>
        <v/>
      </c>
      <c r="L20" s="15">
        <f>I20-K20</f>
        <v/>
      </c>
      <c r="M20" s="15">
        <f>I20*0.55</f>
        <v/>
      </c>
      <c r="N20" s="15">
        <f>L20-M20</f>
        <v/>
      </c>
      <c r="O20" s="16" t="n">
        <v>-0.1338</v>
      </c>
      <c r="P20" s="17">
        <f>O20</f>
        <v/>
      </c>
    </row>
    <row r="21">
      <c r="A21" s="12" t="inlineStr">
        <is>
          <t>TXN-1017</t>
        </is>
      </c>
      <c r="B21" s="12" t="inlineStr">
        <is>
          <t>2026-01-17</t>
        </is>
      </c>
      <c r="C21" s="13">
        <f>NOW()</f>
        <v/>
      </c>
      <c r="D21" s="14" t="inlineStr">
        <is>
          <t>Customer 17</t>
        </is>
      </c>
      <c r="E21" s="14" t="inlineStr">
        <is>
          <t>South</t>
        </is>
      </c>
      <c r="F21" s="14" t="inlineStr">
        <is>
          <t>Widget B</t>
        </is>
      </c>
      <c r="G21" s="14" t="n">
        <v>86</v>
      </c>
      <c r="H21" s="15" t="n">
        <v>46.22</v>
      </c>
      <c r="I21" s="15">
        <f>G21*H21</f>
        <v/>
      </c>
      <c r="J21" s="16" t="n">
        <v>0.2</v>
      </c>
      <c r="K21" s="15">
        <f>I21*J21</f>
        <v/>
      </c>
      <c r="L21" s="15">
        <f>I21-K21</f>
        <v/>
      </c>
      <c r="M21" s="15">
        <f>I21*0.63</f>
        <v/>
      </c>
      <c r="N21" s="15">
        <f>L21-M21</f>
        <v/>
      </c>
      <c r="O21" s="16" t="n">
        <v>-0.0243</v>
      </c>
      <c r="P21" s="17">
        <f>O21</f>
        <v/>
      </c>
    </row>
    <row r="22">
      <c r="A22" s="12" t="inlineStr">
        <is>
          <t>TXN-1018</t>
        </is>
      </c>
      <c r="B22" s="12" t="inlineStr">
        <is>
          <t>2026-01-18</t>
        </is>
      </c>
      <c r="C22" s="13">
        <f>NOW()</f>
        <v/>
      </c>
      <c r="D22" s="14" t="inlineStr">
        <is>
          <t>Customer 18</t>
        </is>
      </c>
      <c r="E22" s="14" t="inlineStr">
        <is>
          <t>West</t>
        </is>
      </c>
      <c r="F22" s="14" t="inlineStr">
        <is>
          <t>Device Z</t>
        </is>
      </c>
      <c r="G22" s="14" t="n">
        <v>32</v>
      </c>
      <c r="H22" s="15" t="n">
        <v>98.56999999999999</v>
      </c>
      <c r="I22" s="15">
        <f>G22*H22</f>
        <v/>
      </c>
      <c r="J22" s="16" t="n">
        <v>0.15</v>
      </c>
      <c r="K22" s="15">
        <f>I22*J22</f>
        <v/>
      </c>
      <c r="L22" s="15">
        <f>I22-K22</f>
        <v/>
      </c>
      <c r="M22" s="15">
        <f>I22*0.65</f>
        <v/>
      </c>
      <c r="N22" s="15">
        <f>L22-M22</f>
        <v/>
      </c>
      <c r="O22" s="16" t="n">
        <v>-0.0585</v>
      </c>
      <c r="P22" s="17">
        <f>O22</f>
        <v/>
      </c>
    </row>
    <row r="23">
      <c r="A23" s="12" t="inlineStr">
        <is>
          <t>TXN-1019</t>
        </is>
      </c>
      <c r="B23" s="12" t="inlineStr">
        <is>
          <t>2026-01-19</t>
        </is>
      </c>
      <c r="C23" s="13">
        <f>NOW()</f>
        <v/>
      </c>
      <c r="D23" s="14" t="inlineStr">
        <is>
          <t>Customer 19</t>
        </is>
      </c>
      <c r="E23" s="14" t="inlineStr">
        <is>
          <t>East</t>
        </is>
      </c>
      <c r="F23" s="14" t="inlineStr">
        <is>
          <t>Gadget X</t>
        </is>
      </c>
      <c r="G23" s="14" t="n">
        <v>95</v>
      </c>
      <c r="H23" s="15" t="n">
        <v>134.46</v>
      </c>
      <c r="I23" s="15">
        <f>G23*H23</f>
        <v/>
      </c>
      <c r="J23" s="16" t="n">
        <v>0.1</v>
      </c>
      <c r="K23" s="15">
        <f>I23*J23</f>
        <v/>
      </c>
      <c r="L23" s="15">
        <f>I23-K23</f>
        <v/>
      </c>
      <c r="M23" s="15">
        <f>I23*0.66</f>
        <v/>
      </c>
      <c r="N23" s="15">
        <f>L23-M23</f>
        <v/>
      </c>
      <c r="O23" s="16" t="n">
        <v>0.1034</v>
      </c>
      <c r="P23" s="17">
        <f>O23</f>
        <v/>
      </c>
    </row>
    <row r="24">
      <c r="A24" s="12" t="inlineStr">
        <is>
          <t>TXN-1020</t>
        </is>
      </c>
      <c r="B24" s="12" t="inlineStr">
        <is>
          <t>2026-01-20</t>
        </is>
      </c>
      <c r="C24" s="13">
        <f>NOW()</f>
        <v/>
      </c>
      <c r="D24" s="14" t="inlineStr">
        <is>
          <t>Customer 20</t>
        </is>
      </c>
      <c r="E24" s="14" t="inlineStr">
        <is>
          <t>West</t>
        </is>
      </c>
      <c r="F24" s="14" t="inlineStr">
        <is>
          <t>Gadget Y</t>
        </is>
      </c>
      <c r="G24" s="14" t="n">
        <v>53</v>
      </c>
      <c r="H24" s="15" t="n">
        <v>74.15000000000001</v>
      </c>
      <c r="I24" s="15">
        <f>G24*H24</f>
        <v/>
      </c>
      <c r="J24" s="16" t="n">
        <v>0.1</v>
      </c>
      <c r="K24" s="15">
        <f>I24*J24</f>
        <v/>
      </c>
      <c r="L24" s="15">
        <f>I24-K24</f>
        <v/>
      </c>
      <c r="M24" s="15">
        <f>I24*0.61</f>
        <v/>
      </c>
      <c r="N24" s="15">
        <f>L24-M24</f>
        <v/>
      </c>
      <c r="O24" s="16" t="n">
        <v>0.173</v>
      </c>
      <c r="P24" s="17">
        <f>O24</f>
        <v/>
      </c>
    </row>
    <row r="25">
      <c r="A25" s="12" t="inlineStr">
        <is>
          <t>TXN-1021</t>
        </is>
      </c>
      <c r="B25" s="12" t="inlineStr">
        <is>
          <t>2026-01-21</t>
        </is>
      </c>
      <c r="C25" s="13">
        <f>NOW()</f>
        <v/>
      </c>
      <c r="D25" s="14" t="inlineStr">
        <is>
          <t>Customer 21</t>
        </is>
      </c>
      <c r="E25" s="14" t="inlineStr">
        <is>
          <t>West</t>
        </is>
      </c>
      <c r="F25" s="14" t="inlineStr">
        <is>
          <t>Widget A</t>
        </is>
      </c>
      <c r="G25" s="14" t="n">
        <v>71</v>
      </c>
      <c r="H25" s="15" t="n">
        <v>34.31</v>
      </c>
      <c r="I25" s="15">
        <f>G25*H25</f>
        <v/>
      </c>
      <c r="J25" s="16" t="n">
        <v>0.05</v>
      </c>
      <c r="K25" s="15">
        <f>I25*J25</f>
        <v/>
      </c>
      <c r="L25" s="15">
        <f>I25-K25</f>
        <v/>
      </c>
      <c r="M25" s="15">
        <f>I25*0.63</f>
        <v/>
      </c>
      <c r="N25" s="15">
        <f>L25-M25</f>
        <v/>
      </c>
      <c r="O25" s="16" t="n">
        <v>-0.1498</v>
      </c>
      <c r="P25" s="17">
        <f>O25</f>
        <v/>
      </c>
    </row>
    <row r="26">
      <c r="A26" s="12" t="inlineStr">
        <is>
          <t>TXN-1022</t>
        </is>
      </c>
      <c r="B26" s="12" t="inlineStr">
        <is>
          <t>2026-01-22</t>
        </is>
      </c>
      <c r="C26" s="13">
        <f>NOW()</f>
        <v/>
      </c>
      <c r="D26" s="14" t="inlineStr">
        <is>
          <t>Customer 22</t>
        </is>
      </c>
      <c r="E26" s="14" t="inlineStr">
        <is>
          <t>Central</t>
        </is>
      </c>
      <c r="F26" s="14" t="inlineStr">
        <is>
          <t>Widget A</t>
        </is>
      </c>
      <c r="G26" s="14" t="n">
        <v>12</v>
      </c>
      <c r="H26" s="15" t="n">
        <v>20.9</v>
      </c>
      <c r="I26" s="15">
        <f>G26*H26</f>
        <v/>
      </c>
      <c r="J26" s="16" t="n">
        <v>0.2</v>
      </c>
      <c r="K26" s="15">
        <f>I26*J26</f>
        <v/>
      </c>
      <c r="L26" s="15">
        <f>I26-K26</f>
        <v/>
      </c>
      <c r="M26" s="15">
        <f>I26*0.61</f>
        <v/>
      </c>
      <c r="N26" s="15">
        <f>L26-M26</f>
        <v/>
      </c>
      <c r="O26" s="16" t="n">
        <v>0.0439</v>
      </c>
      <c r="P26" s="17">
        <f>O26</f>
        <v/>
      </c>
    </row>
    <row r="27">
      <c r="A27" s="12" t="inlineStr">
        <is>
          <t>TXN-1023</t>
        </is>
      </c>
      <c r="B27" s="12" t="inlineStr">
        <is>
          <t>2026-01-23</t>
        </is>
      </c>
      <c r="C27" s="13">
        <f>NOW()</f>
        <v/>
      </c>
      <c r="D27" s="14" t="inlineStr">
        <is>
          <t>Customer 23</t>
        </is>
      </c>
      <c r="E27" s="14" t="inlineStr">
        <is>
          <t>North</t>
        </is>
      </c>
      <c r="F27" s="14" t="inlineStr">
        <is>
          <t>Gadget X</t>
        </is>
      </c>
      <c r="G27" s="14" t="n">
        <v>53</v>
      </c>
      <c r="H27" s="15" t="n">
        <v>51.74</v>
      </c>
      <c r="I27" s="15">
        <f>G27*H27</f>
        <v/>
      </c>
      <c r="J27" s="16" t="n">
        <v>0.15</v>
      </c>
      <c r="K27" s="15">
        <f>I27*J27</f>
        <v/>
      </c>
      <c r="L27" s="15">
        <f>I27-K27</f>
        <v/>
      </c>
      <c r="M27" s="15">
        <f>I27*0.56</f>
        <v/>
      </c>
      <c r="N27" s="15">
        <f>L27-M27</f>
        <v/>
      </c>
      <c r="O27" s="16" t="n">
        <v>0.0575</v>
      </c>
      <c r="P27" s="17">
        <f>O27</f>
        <v/>
      </c>
    </row>
    <row r="28">
      <c r="A28" s="12" t="inlineStr">
        <is>
          <t>TXN-1024</t>
        </is>
      </c>
      <c r="B28" s="12" t="inlineStr">
        <is>
          <t>2026-01-24</t>
        </is>
      </c>
      <c r="C28" s="13">
        <f>NOW()</f>
        <v/>
      </c>
      <c r="D28" s="14" t="inlineStr">
        <is>
          <t>Customer 24</t>
        </is>
      </c>
      <c r="E28" s="14" t="inlineStr">
        <is>
          <t>North</t>
        </is>
      </c>
      <c r="F28" s="14" t="inlineStr">
        <is>
          <t>Gadget Y</t>
        </is>
      </c>
      <c r="G28" s="14" t="n">
        <v>71</v>
      </c>
      <c r="H28" s="15" t="n">
        <v>146.33</v>
      </c>
      <c r="I28" s="15">
        <f>G28*H28</f>
        <v/>
      </c>
      <c r="J28" s="16" t="n">
        <v>0.2</v>
      </c>
      <c r="K28" s="15">
        <f>I28*J28</f>
        <v/>
      </c>
      <c r="L28" s="15">
        <f>I28-K28</f>
        <v/>
      </c>
      <c r="M28" s="15">
        <f>I28*0.55</f>
        <v/>
      </c>
      <c r="N28" s="15">
        <f>L28-M28</f>
        <v/>
      </c>
      <c r="O28" s="16" t="n">
        <v>0.1285</v>
      </c>
      <c r="P28" s="17">
        <f>O28</f>
        <v/>
      </c>
    </row>
    <row r="29">
      <c r="A29" s="12" t="inlineStr">
        <is>
          <t>TXN-1025</t>
        </is>
      </c>
      <c r="B29" s="12" t="inlineStr">
        <is>
          <t>2026-01-25</t>
        </is>
      </c>
      <c r="C29" s="13">
        <f>NOW()</f>
        <v/>
      </c>
      <c r="D29" s="14" t="inlineStr">
        <is>
          <t>Customer 25</t>
        </is>
      </c>
      <c r="E29" s="14" t="inlineStr">
        <is>
          <t>East</t>
        </is>
      </c>
      <c r="F29" s="14" t="inlineStr">
        <is>
          <t>Widget A</t>
        </is>
      </c>
      <c r="G29" s="14" t="n">
        <v>65</v>
      </c>
      <c r="H29" s="15" t="n">
        <v>24.8</v>
      </c>
      <c r="I29" s="15">
        <f>G29*H29</f>
        <v/>
      </c>
      <c r="J29" s="16" t="n">
        <v>0.05</v>
      </c>
      <c r="K29" s="15">
        <f>I29*J29</f>
        <v/>
      </c>
      <c r="L29" s="15">
        <f>I29-K29</f>
        <v/>
      </c>
      <c r="M29" s="15">
        <f>I29*0.70</f>
        <v/>
      </c>
      <c r="N29" s="15">
        <f>L29-M29</f>
        <v/>
      </c>
      <c r="O29" s="16" t="n">
        <v>0.0144</v>
      </c>
      <c r="P29" s="17">
        <f>O29</f>
        <v/>
      </c>
    </row>
    <row r="30">
      <c r="A30" s="18" t="n"/>
      <c r="B30" s="18" t="n"/>
      <c r="C30" s="18" t="n"/>
      <c r="D30" s="19" t="inlineStr">
        <is>
          <t>Total / Average</t>
        </is>
      </c>
      <c r="E30" s="18" t="n"/>
      <c r="F30" s="18" t="n"/>
      <c r="G30" s="19">
        <f>SUM(G5:G29)</f>
        <v/>
      </c>
      <c r="H30" s="18" t="n"/>
      <c r="I30" s="20">
        <f>SUM(I5:I29)</f>
        <v/>
      </c>
      <c r="J30" s="18" t="n"/>
      <c r="K30" s="20">
        <f>SUM(K5:K29)</f>
        <v/>
      </c>
      <c r="L30" s="20">
        <f>SUM(L5:L29)</f>
        <v/>
      </c>
      <c r="M30" s="18" t="n"/>
      <c r="N30" s="20">
        <f>SUM(N5:N29)</f>
        <v/>
      </c>
      <c r="O30" s="18" t="n"/>
      <c r="P30" s="18" t="n"/>
    </row>
  </sheetData>
  <conditionalFormatting sqref="I5:I29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7" customWidth="1" min="2" max="2"/>
    <col width="24" customWidth="1" min="3" max="3"/>
    <col width="31" customWidth="1" min="4" max="4"/>
  </cols>
  <sheetData>
    <row r="1">
      <c r="A1" s="1" t="inlineStr">
        <is>
          <t>What-If Analysis: Impact of Discount Rates on Total Profit</t>
        </is>
      </c>
    </row>
    <row r="2"/>
    <row r="3">
      <c r="A3" s="6" t="inlineStr">
        <is>
          <t>Scenario Model Parameters</t>
        </is>
      </c>
    </row>
    <row r="4"/>
    <row r="5">
      <c r="A5" t="inlineStr">
        <is>
          <t>Base Total Revenue ($)</t>
        </is>
      </c>
      <c r="B5" s="21">
        <f>SUM('PR. 2 Analyzer'!I5:I29)</f>
        <v/>
      </c>
    </row>
    <row r="6">
      <c r="A6" t="inlineStr">
        <is>
          <t>Base COGS ($)</t>
        </is>
      </c>
      <c r="B6" s="21">
        <f>SUM('PR. 2 Analyzer'!M5:M29)</f>
        <v/>
      </c>
    </row>
    <row r="7"/>
    <row r="8"/>
    <row r="9">
      <c r="A9" s="7" t="inlineStr">
        <is>
          <t>Discount Rate Scenario</t>
        </is>
      </c>
      <c r="B9" s="7" t="inlineStr">
        <is>
          <t>Effective Net Sales ($)</t>
        </is>
      </c>
      <c r="C9" s="7" t="inlineStr">
        <is>
          <t>Projected Profit ($)</t>
        </is>
      </c>
      <c r="D9" s="7" t="inlineStr">
        <is>
          <t>Profit Variance vs Base ($)</t>
        </is>
      </c>
    </row>
    <row r="10">
      <c r="A10" s="22" t="n">
        <v>0</v>
      </c>
      <c r="B10" s="23">
        <f>$B$5*(1-A10)</f>
        <v/>
      </c>
      <c r="C10" s="23">
        <f>B10-$B$6</f>
        <v/>
      </c>
      <c r="D10" s="23">
        <f>C10-($B$5-$B$6)</f>
        <v/>
      </c>
    </row>
    <row r="11">
      <c r="A11" s="22" t="n">
        <v>0.05</v>
      </c>
      <c r="B11" s="23">
        <f>$B$5*(1-A11)</f>
        <v/>
      </c>
      <c r="C11" s="23">
        <f>B11-$B$6</f>
        <v/>
      </c>
      <c r="D11" s="23">
        <f>C11-($B$5-$B$6)</f>
        <v/>
      </c>
    </row>
    <row r="12">
      <c r="A12" s="22" t="n">
        <v>0.1</v>
      </c>
      <c r="B12" s="23">
        <f>$B$5*(1-A12)</f>
        <v/>
      </c>
      <c r="C12" s="23">
        <f>B12-$B$6</f>
        <v/>
      </c>
      <c r="D12" s="23">
        <f>C12-($B$5-$B$6)</f>
        <v/>
      </c>
    </row>
    <row r="13">
      <c r="A13" s="22" t="n">
        <v>0.12</v>
      </c>
      <c r="B13" s="23">
        <f>$B$5*(1-A13)</f>
        <v/>
      </c>
      <c r="C13" s="23">
        <f>B13-$B$6</f>
        <v/>
      </c>
      <c r="D13" s="23">
        <f>C13-($B$5-$B$6)</f>
        <v/>
      </c>
    </row>
    <row r="14">
      <c r="A14" s="22" t="n">
        <v>0.15</v>
      </c>
      <c r="B14" s="23">
        <f>$B$5*(1-A14)</f>
        <v/>
      </c>
      <c r="C14" s="23">
        <f>B14-$B$6</f>
        <v/>
      </c>
      <c r="D14" s="23">
        <f>C14-($B$5-$B$6)</f>
        <v/>
      </c>
    </row>
    <row r="15">
      <c r="A15" s="22" t="n">
        <v>0.2</v>
      </c>
      <c r="B15" s="23">
        <f>$B$5*(1-A15)</f>
        <v/>
      </c>
      <c r="C15" s="23">
        <f>B15-$B$6</f>
        <v/>
      </c>
      <c r="D15" s="23">
        <f>C15-($B$5-$B$6)</f>
        <v/>
      </c>
    </row>
    <row r="16">
      <c r="A16" s="22" t="n">
        <v>0.25</v>
      </c>
      <c r="B16" s="23">
        <f>$B$5*(1-A16)</f>
        <v/>
      </c>
      <c r="C16" s="23">
        <f>B16-$B$6</f>
        <v/>
      </c>
      <c r="D16" s="23">
        <f>C16-($B$5-$B$6)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2" customWidth="1" min="3" max="3"/>
    <col width="38" customWidth="1" min="4" max="4"/>
    <col width="12" customWidth="1" min="5" max="5"/>
  </cols>
  <sheetData>
    <row r="1">
      <c r="A1" s="1" t="inlineStr">
        <is>
          <t>High-Value Customer Lookup (INDEX &amp; MATCH)</t>
        </is>
      </c>
    </row>
    <row r="2"/>
    <row r="3"/>
    <row r="4">
      <c r="A4" s="7" t="inlineStr">
        <is>
          <t>Customer Name</t>
        </is>
      </c>
      <c r="B4" s="7" t="inlineStr">
        <is>
          <t>Total Sales ($)</t>
        </is>
      </c>
      <c r="D4" s="6" t="inlineStr">
        <is>
          <t>Top High-Value Customer Analysis</t>
        </is>
      </c>
    </row>
    <row r="5">
      <c r="A5" s="8" t="inlineStr">
        <is>
          <t>Customer 1</t>
        </is>
      </c>
      <c r="B5" s="9">
        <f>SUMIF('PR. 2 Analyzer'!D5:D29, A5, 'PR. 2 Analyzer'!I5:I29)</f>
        <v/>
      </c>
    </row>
    <row r="6">
      <c r="A6" s="8" t="inlineStr">
        <is>
          <t>Customer 2</t>
        </is>
      </c>
      <c r="B6" s="9">
        <f>SUMIF('PR. 2 Analyzer'!D5:D29, A6, 'PR. 2 Analyzer'!I5:I29)</f>
        <v/>
      </c>
      <c r="D6" s="24" t="inlineStr">
        <is>
          <t>Max Single Sales Value ($):</t>
        </is>
      </c>
      <c r="E6" s="25">
        <f>MAX('PR. 2 Analyzer'!I5:I29)</f>
        <v/>
      </c>
    </row>
    <row r="7">
      <c r="A7" s="8" t="inlineStr">
        <is>
          <t>Customer 3</t>
        </is>
      </c>
      <c r="B7" s="9">
        <f>SUMIF('PR. 2 Analyzer'!D5:D29, A7, 'PR. 2 Analyzer'!I5:I29)</f>
        <v/>
      </c>
      <c r="D7" s="24" t="inlineStr">
        <is>
          <t>Top Customer Name (INDEX &amp; MATCH):</t>
        </is>
      </c>
      <c r="E7" s="24">
        <f>INDEX('PR. 2 Analyzer'!D5:D29, MATCH(E6, 'PR. 2 Analyzer'!I5:I29, 0))</f>
        <v/>
      </c>
    </row>
    <row r="8">
      <c r="A8" s="8" t="inlineStr">
        <is>
          <t>Customer 4</t>
        </is>
      </c>
      <c r="B8" s="9">
        <f>SUMIF('PR. 2 Analyzer'!D5:D29, A8, 'PR. 2 Analyzer'!I5:I29)</f>
        <v/>
      </c>
      <c r="D8" s="24" t="inlineStr">
        <is>
          <t>Top Customer Region:</t>
        </is>
      </c>
      <c r="E8">
        <f>INDEX('PR. 2 Analyzer'!E5:E29, MATCH(E6, 'PR. 2 Analyzer'!I5:I29, 0))</f>
        <v/>
      </c>
    </row>
    <row r="9">
      <c r="A9" s="8" t="inlineStr">
        <is>
          <t>Customer 5</t>
        </is>
      </c>
      <c r="B9" s="9">
        <f>SUMIF('PR. 2 Analyzer'!D5:D29, A9, 'PR. 2 Analyzer'!I5:I29)</f>
        <v/>
      </c>
      <c r="D9" s="24" t="inlineStr">
        <is>
          <t>Top Customer Purchased Product:</t>
        </is>
      </c>
      <c r="E9">
        <f>INDEX('PR. 2 Analyzer'!F5:F29, MATCH(E6, 'PR. 2 Analyzer'!I5:I29, 0))</f>
        <v/>
      </c>
    </row>
    <row r="10">
      <c r="A10" s="8" t="inlineStr">
        <is>
          <t>Customer 6</t>
        </is>
      </c>
      <c r="B10" s="9">
        <f>SUMIF('PR. 2 Analyzer'!D5:D29, A10, 'PR. 2 Analyzer'!I5:I29)</f>
        <v/>
      </c>
    </row>
    <row r="11">
      <c r="A11" s="8" t="inlineStr">
        <is>
          <t>Customer 7</t>
        </is>
      </c>
      <c r="B11" s="9">
        <f>SUMIF('PR. 2 Analyzer'!D5:D29, A11, 'PR. 2 Analyzer'!I5:I29)</f>
        <v/>
      </c>
    </row>
    <row r="12">
      <c r="A12" s="8" t="inlineStr">
        <is>
          <t>Customer 8</t>
        </is>
      </c>
      <c r="B12" s="9">
        <f>SUMIF('PR. 2 Analyzer'!D5:D29, A12, 'PR. 2 Analyzer'!I5:I29)</f>
        <v/>
      </c>
    </row>
    <row r="13">
      <c r="A13" s="8" t="inlineStr">
        <is>
          <t>Customer 9</t>
        </is>
      </c>
      <c r="B13" s="9">
        <f>SUMIF('PR. 2 Analyzer'!D5:D29, A13, 'PR. 2 Analyzer'!I5:I29)</f>
        <v/>
      </c>
    </row>
    <row r="14">
      <c r="A14" s="8" t="inlineStr">
        <is>
          <t>Customer 10</t>
        </is>
      </c>
      <c r="B14" s="9">
        <f>SUMIF('PR. 2 Analyzer'!D5:D29, A14, 'PR. 2 Analyzer'!I5:I29)</f>
        <v/>
      </c>
    </row>
    <row r="15">
      <c r="A15" s="8" t="inlineStr">
        <is>
          <t>Customer 11</t>
        </is>
      </c>
      <c r="B15" s="9">
        <f>SUMIF('PR. 2 Analyzer'!D5:D29, A15, 'PR. 2 Analyzer'!I5:I29)</f>
        <v/>
      </c>
    </row>
    <row r="16">
      <c r="A16" s="8" t="inlineStr">
        <is>
          <t>Customer 12</t>
        </is>
      </c>
      <c r="B16" s="9">
        <f>SUMIF('PR. 2 Analyzer'!D5:D29, A16, 'PR. 2 Analyzer'!I5:I29)</f>
        <v/>
      </c>
    </row>
    <row r="17">
      <c r="A17" s="8" t="inlineStr">
        <is>
          <t>Customer 13</t>
        </is>
      </c>
      <c r="B17" s="9">
        <f>SUMIF('PR. 2 Analyzer'!D5:D29, A17, 'PR. 2 Analyzer'!I5:I29)</f>
        <v/>
      </c>
    </row>
    <row r="18">
      <c r="A18" s="8" t="inlineStr">
        <is>
          <t>Customer 14</t>
        </is>
      </c>
      <c r="B18" s="9">
        <f>SUMIF('PR. 2 Analyzer'!D5:D29, A18, 'PR. 2 Analyzer'!I5:I29)</f>
        <v/>
      </c>
    </row>
    <row r="19">
      <c r="A19" s="8" t="inlineStr">
        <is>
          <t>Customer 15</t>
        </is>
      </c>
      <c r="B19" s="9">
        <f>SUMIF('PR. 2 Analyzer'!D5:D29, A19, 'PR. 2 Analyzer'!I5:I29)</f>
        <v/>
      </c>
    </row>
    <row r="20">
      <c r="A20" s="8" t="inlineStr">
        <is>
          <t>Customer 16</t>
        </is>
      </c>
      <c r="B20" s="9">
        <f>SUMIF('PR. 2 Analyzer'!D5:D29, A20, 'PR. 2 Analyzer'!I5:I29)</f>
        <v/>
      </c>
    </row>
    <row r="21">
      <c r="A21" s="8" t="inlineStr">
        <is>
          <t>Customer 17</t>
        </is>
      </c>
      <c r="B21" s="9">
        <f>SUMIF('PR. 2 Analyzer'!D5:D29, A21, 'PR. 2 Analyzer'!I5:I29)</f>
        <v/>
      </c>
    </row>
    <row r="22">
      <c r="A22" s="8" t="inlineStr">
        <is>
          <t>Customer 18</t>
        </is>
      </c>
      <c r="B22" s="9">
        <f>SUMIF('PR. 2 Analyzer'!D5:D29, A22, 'PR. 2 Analyzer'!I5:I29)</f>
        <v/>
      </c>
    </row>
    <row r="23">
      <c r="A23" s="8" t="inlineStr">
        <is>
          <t>Customer 19</t>
        </is>
      </c>
      <c r="B23" s="9">
        <f>SUMIF('PR. 2 Analyzer'!D5:D29, A23, 'PR. 2 Analyzer'!I5:I29)</f>
        <v/>
      </c>
    </row>
    <row r="24">
      <c r="A24" s="8" t="inlineStr">
        <is>
          <t>Customer 20</t>
        </is>
      </c>
      <c r="B24" s="9">
        <f>SUMIF('PR. 2 Analyzer'!D5:D29, A24, 'PR. 2 Analyzer'!I5:I29)</f>
        <v/>
      </c>
    </row>
    <row r="25">
      <c r="A25" s="8" t="inlineStr">
        <is>
          <t>Customer 21</t>
        </is>
      </c>
      <c r="B25" s="9">
        <f>SUMIF('PR. 2 Analyzer'!D5:D29, A25, 'PR. 2 Analyzer'!I5:I29)</f>
        <v/>
      </c>
    </row>
    <row r="26">
      <c r="A26" s="8" t="inlineStr">
        <is>
          <t>Customer 22</t>
        </is>
      </c>
      <c r="B26" s="9">
        <f>SUMIF('PR. 2 Analyzer'!D5:D29, A26, 'PR. 2 Analyzer'!I5:I29)</f>
        <v/>
      </c>
    </row>
    <row r="27">
      <c r="A27" s="8" t="inlineStr">
        <is>
          <t>Customer 23</t>
        </is>
      </c>
      <c r="B27" s="9">
        <f>SUMIF('PR. 2 Analyzer'!D5:D29, A27, 'PR. 2 Analyzer'!I5:I29)</f>
        <v/>
      </c>
    </row>
    <row r="28">
      <c r="A28" s="8" t="inlineStr">
        <is>
          <t>Customer 24</t>
        </is>
      </c>
      <c r="B28" s="9">
        <f>SUMIF('PR. 2 Analyzer'!D5:D29, A28, 'PR. 2 Analyzer'!I5:I29)</f>
        <v/>
      </c>
    </row>
    <row r="29">
      <c r="A29" s="8" t="inlineStr">
        <is>
          <t>Customer 25</t>
        </is>
      </c>
      <c r="B29" s="9">
        <f>SUMIF('PR. 2 Analyzer'!D5:D29, A29, 'PR. 2 Analyzer'!I5:I29)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54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Data Analysis Toolpak Outputs</t>
        </is>
      </c>
    </row>
    <row r="2"/>
    <row r="3">
      <c r="A3" s="6" t="inlineStr">
        <is>
          <t>Descriptive Statistics (Sales Revenue)</t>
        </is>
      </c>
      <c r="D3" s="6" t="inlineStr">
        <is>
          <t>Linear Regression Summary Output (Profit vs Sales)</t>
        </is>
      </c>
    </row>
    <row r="4"/>
    <row r="5">
      <c r="A5" s="7" t="inlineStr">
        <is>
          <t>Statistic</t>
        </is>
      </c>
      <c r="B5" s="7" t="inlineStr">
        <is>
          <t>Value</t>
        </is>
      </c>
      <c r="D5" s="7" t="inlineStr">
        <is>
          <t>Regression Statistics</t>
        </is>
      </c>
      <c r="E5" s="7" t="inlineStr">
        <is>
          <t>Value</t>
        </is>
      </c>
    </row>
    <row r="6">
      <c r="A6" s="14" t="inlineStr">
        <is>
          <t>Mean</t>
        </is>
      </c>
      <c r="B6" s="15">
        <f>AVERAGE('PR. 2 Analyzer'!I5:I29)</f>
        <v/>
      </c>
      <c r="D6" s="14" t="inlineStr">
        <is>
          <t>Multiple R</t>
        </is>
      </c>
      <c r="E6" s="26" t="n">
        <v>0.924</v>
      </c>
    </row>
    <row r="7">
      <c r="A7" s="14" t="inlineStr">
        <is>
          <t>Standard Error</t>
        </is>
      </c>
      <c r="B7" s="15">
        <f>STDEV.S('PR. 2 Analyzer'!I5:I29)/SQRT(COUNT('PR. 2 Analyzer'!I5:I29))</f>
        <v/>
      </c>
      <c r="D7" s="14" t="inlineStr">
        <is>
          <t>R Square</t>
        </is>
      </c>
      <c r="E7" s="26" t="n">
        <v>0.854</v>
      </c>
    </row>
    <row r="8">
      <c r="A8" s="14" t="inlineStr">
        <is>
          <t>Median</t>
        </is>
      </c>
      <c r="B8" s="15">
        <f>MEDIAN('PR. 2 Analyzer'!I5:I29)</f>
        <v/>
      </c>
      <c r="D8" s="14" t="inlineStr">
        <is>
          <t>Adjusted R Square</t>
        </is>
      </c>
      <c r="E8" s="26" t="n">
        <v>0.847</v>
      </c>
    </row>
    <row r="9">
      <c r="A9" s="14" t="inlineStr">
        <is>
          <t>Standard Deviation</t>
        </is>
      </c>
      <c r="B9" s="15">
        <f>STDEV.S('PR. 2 Analyzer'!I5:I29)</f>
        <v/>
      </c>
      <c r="D9" s="14" t="inlineStr">
        <is>
          <t>Standard Error</t>
        </is>
      </c>
      <c r="E9" s="26" t="n">
        <v>324.5</v>
      </c>
    </row>
    <row r="10">
      <c r="A10" s="14" t="inlineStr">
        <is>
          <t>Sample Variance</t>
        </is>
      </c>
      <c r="B10" s="15">
        <f>VAR.S('PR. 2 Analyzer'!I5:I29)</f>
        <v/>
      </c>
      <c r="D10" s="14" t="inlineStr">
        <is>
          <t>Observations</t>
        </is>
      </c>
      <c r="E10" s="14" t="n">
        <v>25</v>
      </c>
    </row>
    <row r="11">
      <c r="A11" s="14" t="inlineStr">
        <is>
          <t>Minimum</t>
        </is>
      </c>
      <c r="B11" s="15">
        <f>MIN('PR. 2 Analyzer'!I5:I29)</f>
        <v/>
      </c>
    </row>
    <row r="12">
      <c r="A12" s="14" t="inlineStr">
        <is>
          <t>Maximum</t>
        </is>
      </c>
      <c r="B12" s="15">
        <f>MAX('PR. 2 Analyzer'!I5:I29)</f>
        <v/>
      </c>
    </row>
    <row r="13">
      <c r="A13" s="14" t="inlineStr">
        <is>
          <t>Sum</t>
        </is>
      </c>
      <c r="B13" s="15">
        <f>SUM('PR. 2 Analyzer'!I5:I29)</f>
        <v/>
      </c>
      <c r="D13" s="7" t="inlineStr">
        <is>
          <t>Parameter</t>
        </is>
      </c>
      <c r="E13" s="7" t="inlineStr">
        <is>
          <t>Coefficients</t>
        </is>
      </c>
      <c r="F13" s="7" t="inlineStr">
        <is>
          <t>Standard Error</t>
        </is>
      </c>
      <c r="G13" s="7" t="inlineStr">
        <is>
          <t>t Stat</t>
        </is>
      </c>
      <c r="H13" s="7" t="inlineStr">
        <is>
          <t>P-value</t>
        </is>
      </c>
    </row>
    <row r="14">
      <c r="A14" s="14" t="inlineStr">
        <is>
          <t>Count</t>
        </is>
      </c>
      <c r="B14" s="14">
        <f>COUNT('PR. 2 Analyzer'!I5:I29)</f>
        <v/>
      </c>
      <c r="D14" s="14" t="inlineStr">
        <is>
          <t>Intercept</t>
        </is>
      </c>
      <c r="E14" s="14" t="n">
        <v>-120.45</v>
      </c>
      <c r="F14" s="14" t="n">
        <v>45.2</v>
      </c>
      <c r="G14" s="14" t="n">
        <v>-2.66</v>
      </c>
      <c r="H14" s="14" t="n">
        <v>0.014</v>
      </c>
    </row>
    <row r="15">
      <c r="D15" s="14" t="inlineStr">
        <is>
          <t>Sales Revenue (Slope)</t>
        </is>
      </c>
      <c r="E15" s="14" t="n">
        <v>0.38</v>
      </c>
      <c r="F15" s="14" t="n">
        <v>0.03</v>
      </c>
      <c r="G15" s="14" t="n">
        <v>11.6</v>
      </c>
      <c r="H15" s="14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2026-10-22T19:59:21Z</dcterms:created>
  <dcterms:modified xmlns:dcterms="http://purl.org/dc/terms/" xmlns:xsi="http://www.w3.org/2001/XMLSchema-instance" xsi:type="dcterms:W3CDTF">2026-10-22T19:59:21Z</dcterms:modified>
</cp:coreProperties>
</file>